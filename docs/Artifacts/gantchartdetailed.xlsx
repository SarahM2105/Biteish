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0" documentId="8_{A5DDDA3B-F41A-432E-9834-EC40247743C5}" xr6:coauthVersionLast="47" xr6:coauthVersionMax="47" xr10:uidLastSave="{00000000-0000-0000-0000-000000000000}"/>
  <bookViews>
    <workbookView xWindow="-120" yWindow="-120" windowWidth="25440" windowHeight="1527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1" i="11" l="1"/>
  <c r="H80" i="11"/>
  <c r="H79" i="1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2" i="11"/>
  <c r="H31" i="11"/>
  <c r="H30" i="11"/>
  <c r="H29" i="11"/>
  <c r="H28" i="11"/>
  <c r="H27" i="11"/>
  <c r="H26" i="11"/>
  <c r="H25" i="11"/>
  <c r="H24" i="11"/>
  <c r="H23" i="11"/>
  <c r="H22" i="11"/>
  <c r="H21" i="11"/>
  <c r="H20" i="11"/>
  <c r="H19" i="11"/>
  <c r="H17" i="11"/>
  <c r="H15" i="11"/>
  <c r="H14" i="11"/>
  <c r="H13" i="11"/>
  <c r="H12" i="11"/>
  <c r="H11" i="11"/>
  <c r="H10" i="11"/>
  <c r="H9" i="11"/>
  <c r="H8" i="11"/>
  <c r="H7" i="11"/>
  <c r="BA6" i="11"/>
  <c r="X6" i="11"/>
  <c r="AU6" i="11"/>
  <c r="AB6" i="11"/>
  <c r="Z6" i="11"/>
  <c r="O6" i="11"/>
  <c r="U6" i="11"/>
  <c r="AS6" i="11"/>
  <c r="BB6" i="11"/>
  <c r="AP6" i="11"/>
  <c r="AO6" i="11"/>
  <c r="AN6" i="11"/>
  <c r="BD6" i="11"/>
  <c r="AM6" i="11"/>
  <c r="AW6" i="11"/>
  <c r="L6" i="11"/>
  <c r="BL6" i="11"/>
  <c r="BL5" i="11"/>
  <c r="BH6" i="11"/>
  <c r="T6" i="11"/>
  <c r="S6" i="11"/>
  <c r="BG6" i="11"/>
  <c r="BE6" i="11"/>
  <c r="P4" i="11"/>
  <c r="P6" i="11"/>
  <c r="AD6" i="11"/>
  <c r="AD4" i="11"/>
  <c r="AZ6" i="11"/>
  <c r="Y6" i="11"/>
  <c r="AX6" i="11"/>
  <c r="M6" i="11"/>
  <c r="AA6" i="11"/>
  <c r="K6" i="11"/>
  <c r="AK6" i="11"/>
  <c r="AK4" i="11"/>
  <c r="BK5" i="11"/>
  <c r="BK6" i="11"/>
  <c r="R6" i="11"/>
  <c r="BC6" i="11"/>
  <c r="AH6" i="11"/>
  <c r="AG6" i="11"/>
  <c r="AV6" i="11"/>
  <c r="AE6" i="11"/>
  <c r="AL6" i="11"/>
  <c r="AY4" i="11"/>
  <c r="AY6" i="11"/>
  <c r="V6" i="11"/>
  <c r="AT6" i="11"/>
  <c r="AC6" i="11"/>
  <c r="Q6" i="11"/>
  <c r="J6" i="11"/>
  <c r="AJ6" i="11"/>
  <c r="BJ5" i="11"/>
  <c r="BJ6" i="11"/>
  <c r="N6" i="11"/>
  <c r="AR4" i="11"/>
  <c r="AR6" i="11"/>
  <c r="I4" i="11"/>
  <c r="I6" i="11"/>
  <c r="AI6" i="11"/>
  <c r="BG5" i="11"/>
  <c r="BH5" i="11"/>
  <c r="BI5" i="11"/>
  <c r="BI6" i="11"/>
  <c r="W4" i="11"/>
  <c r="W6" i="11"/>
  <c r="BF6" i="11"/>
  <c r="AR5" i="11"/>
  <c r="AS5" i="11"/>
  <c r="AT5" i="11"/>
  <c r="AU5" i="11"/>
  <c r="AV5" i="11"/>
  <c r="AW5" i="11"/>
  <c r="AX5" i="11"/>
  <c r="AY5" i="11"/>
  <c r="AZ5" i="11"/>
  <c r="BA5" i="11"/>
  <c r="BB5" i="11"/>
  <c r="BC5" i="11"/>
  <c r="BD5" i="11"/>
  <c r="BE5" i="11"/>
  <c r="BF5" i="11"/>
  <c r="BF4" i="11"/>
  <c r="AF6" i="11"/>
  <c r="I5" i="11"/>
  <c r="J5" i="11"/>
  <c r="K5" i="11"/>
  <c r="L5" i="11"/>
  <c r="M5" i="11"/>
  <c r="N5" i="11"/>
  <c r="O5" i="11"/>
  <c r="P5" i="11"/>
  <c r="Q5" i="11"/>
  <c r="R5" i="11"/>
  <c r="S5" i="11"/>
  <c r="T5" i="11"/>
  <c r="U5" i="11"/>
  <c r="V5" i="11"/>
  <c r="W5" i="11"/>
  <c r="X5" i="11"/>
  <c r="Y5" i="11"/>
  <c r="Z5" i="11"/>
  <c r="AA5" i="11"/>
  <c r="AB5" i="11"/>
  <c r="AC5" i="11"/>
  <c r="AD5" i="11"/>
  <c r="AE5" i="11"/>
  <c r="AF5" i="11"/>
  <c r="AG5" i="11"/>
  <c r="AH5" i="11"/>
  <c r="AI5" i="11"/>
  <c r="AJ5" i="11"/>
  <c r="AK5" i="11"/>
  <c r="AL5" i="11"/>
  <c r="AM5" i="11"/>
  <c r="AN5" i="11"/>
  <c r="AO5" i="11"/>
  <c r="AP5" i="11"/>
  <c r="AQ5" i="11"/>
  <c r="AQ6" i="11"/>
</calcChain>
</file>

<file path=xl/sharedStrings.xml><?xml version="1.0" encoding="utf-8"?>
<sst xmlns="http://schemas.openxmlformats.org/spreadsheetml/2006/main" count="114" uniqueCount="111">
  <si>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</si>
  <si>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</si>
  <si>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</si>
  <si>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</si>
  <si>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</si>
  <si>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</si>
  <si>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</si>
  <si>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</si>
  <si>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</si>
  <si>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</si>
  <si>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</si>
  <si>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Sample phase title block</t>
  </si>
  <si>
    <t>This is an empty row</t>
  </si>
  <si>
    <t>This row marks the end of the Project Schedule. DO NOT enter anything in this row. 
Insert new rows ABOVE this one to continue building out your Project Schedule.</t>
  </si>
  <si>
    <t>PROJECT TITLE</t>
  </si>
  <si>
    <t>TASK</t>
  </si>
  <si>
    <t>Project Start:</t>
  </si>
  <si>
    <t>Display Week:</t>
  </si>
  <si>
    <t>PROGRESS</t>
  </si>
  <si>
    <t>START</t>
  </si>
  <si>
    <t>END</t>
  </si>
  <si>
    <t>DAYS</t>
  </si>
  <si>
    <t>SIMPLE GANTT CHART by Vertex42.com</t>
  </si>
  <si>
    <t>https://www.vertex42.com/ExcelTemplates/simple-gantt-chart.html</t>
  </si>
  <si>
    <t>About This Template</t>
  </si>
  <si>
    <t>This template provides a simple way to create a Gantt chart to help visualise and track your project. Simply enter your tasks and start and end dates - no formulae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</si>
  <si>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</si>
  <si>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</si>
  <si>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</si>
  <si>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colours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</si>
  <si>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</si>
  <si>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</si>
  <si>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</si>
  <si>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</si>
  <si>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</si>
  <si>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</si>
  <si>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</si>
  <si>
    <t>Sprint 9: Testing and Refinement</t>
  </si>
  <si>
    <t>Sprint 0 (part A) Research</t>
  </si>
  <si>
    <t>Write project aims &amp; objectives</t>
  </si>
  <si>
    <t xml:space="preserve">Reasearch exixting systems similar to the project </t>
  </si>
  <si>
    <t xml:space="preserve">Architecture diagram </t>
  </si>
  <si>
    <t>Draft ERD</t>
  </si>
  <si>
    <t xml:space="preserve">Usecase diagram </t>
  </si>
  <si>
    <t>identify project features</t>
  </si>
  <si>
    <t>Explore technologies suited for the project</t>
  </si>
  <si>
    <t xml:space="preserve">Analyse typical algorithms used </t>
  </si>
  <si>
    <t>create sketches of system flow</t>
  </si>
  <si>
    <t xml:space="preserve">finalise system architecture diagram </t>
  </si>
  <si>
    <t>Finalise ERD</t>
  </si>
  <si>
    <t xml:space="preserve">Create algorithms work flow </t>
  </si>
  <si>
    <t xml:space="preserve">Finalise gant chart </t>
  </si>
  <si>
    <t>research whats needed in a use case diagram</t>
  </si>
  <si>
    <t>reasearch whats needed in an architecture diagram</t>
  </si>
  <si>
    <t xml:space="preserve">setup gitlab project and project file structure </t>
  </si>
  <si>
    <t>Sprint 1: System Design &amp; Preparation</t>
  </si>
  <si>
    <t xml:space="preserve">Sprint 0 (part B) Setup and Initial Design </t>
  </si>
  <si>
    <t xml:space="preserve">Sprint 2: Backend &amp; Authentication </t>
  </si>
  <si>
    <t>Sprint 3: Restaurant &amp; Table Management Features</t>
  </si>
  <si>
    <t>Sprint 4: Booking Logic</t>
  </si>
  <si>
    <t>Sprint 5: Real Time &amp; Notifications</t>
  </si>
  <si>
    <t>Sprint 6: Customer UI &amp; Frontend Integration</t>
  </si>
  <si>
    <t>Sprint 10: Documentation, Deployment &amp; Submission</t>
  </si>
  <si>
    <t xml:space="preserve">Sprint 7: Recommendation System </t>
  </si>
  <si>
    <t xml:space="preserve">Sprint 8: Admin Dashboard </t>
  </si>
  <si>
    <t xml:space="preserve">Setup Node.js/Express project structure </t>
  </si>
  <si>
    <t>Implement User Registration</t>
  </si>
  <si>
    <t xml:space="preserve">Implement Secure Login &amp; JWT Generation </t>
  </si>
  <si>
    <t>Role Based Access Middleware (the 3 roles)</t>
  </si>
  <si>
    <t xml:space="preserve">Connect Prisma &amp; PostgreSQL </t>
  </si>
  <si>
    <t>Test Base Cases Using Postman</t>
  </si>
  <si>
    <t xml:space="preserve">Implement a way for owners to create/edit restaurant </t>
  </si>
  <si>
    <t>Implement zones (CRUD)</t>
  </si>
  <si>
    <t xml:space="preserve">Implement tables </t>
  </si>
  <si>
    <t xml:space="preserve">Implement options to mark tables as unavailable </t>
  </si>
  <si>
    <t>test table endpoints using postman</t>
  </si>
  <si>
    <t xml:space="preserve">Create pending booking requests </t>
  </si>
  <si>
    <t xml:space="preserve">Implement owner approval/decline flow </t>
  </si>
  <si>
    <t xml:space="preserve">Add database constraints to prevent double bookings </t>
  </si>
  <si>
    <t>Implement Turnover time handling</t>
  </si>
  <si>
    <t xml:space="preserve">Modify/ Cancel bookings within the rules </t>
  </si>
  <si>
    <t xml:space="preserve">Setup Websocket connection </t>
  </si>
  <si>
    <t xml:space="preserve">Implement live tools and availability updates </t>
  </si>
  <si>
    <t xml:space="preserve">Generate QR codes for confirmed bookings </t>
  </si>
  <si>
    <t>Implement email notifications (confirm/cancel)</t>
  </si>
  <si>
    <t>Implement Live occupancy updates for owners</t>
  </si>
  <si>
    <t>Build customer Dashboard UI</t>
  </si>
  <si>
    <t>Build Restaurant Search &amp; Filter UI</t>
  </si>
  <si>
    <t>Build Booking Form UI &amp; Validations</t>
  </si>
  <si>
    <t xml:space="preserve">Implement Faveroites System </t>
  </si>
  <si>
    <t>Integrate Customer UI with Backened API</t>
  </si>
  <si>
    <t xml:space="preserve">Implement content Scoring Algorithm </t>
  </si>
  <si>
    <t>Implement Audit log Viewer</t>
  </si>
  <si>
    <t>Build Admin Dashboard UI</t>
  </si>
  <si>
    <t>Integrate Admin tools with Backend API</t>
  </si>
  <si>
    <t xml:space="preserve">Add tag System for restaurants </t>
  </si>
  <si>
    <t xml:space="preserve">Use past bookings to personalise results </t>
  </si>
  <si>
    <t xml:space="preserve">Integrate reccomendations into customer dashboard </t>
  </si>
  <si>
    <t xml:space="preserve">Test and refine scoring logic </t>
  </si>
  <si>
    <t xml:space="preserve">Implement restaurant Verification tools </t>
  </si>
  <si>
    <t xml:space="preserve">Implement User management Tools </t>
  </si>
  <si>
    <t>Perform Backend Unit Testing</t>
  </si>
  <si>
    <t xml:space="preserve">Perform frontend UI testing </t>
  </si>
  <si>
    <t xml:space="preserve">Fix logic/validation errors </t>
  </si>
  <si>
    <t xml:space="preserve">Conduct performance/ load testing </t>
  </si>
  <si>
    <t xml:space="preserve">Finalise refinements based on test results </t>
  </si>
  <si>
    <t xml:space="preserve">Finalise report and diagrams </t>
  </si>
  <si>
    <t xml:space="preserve">Final testing </t>
  </si>
  <si>
    <t xml:space="preserve">Review dosuments completed through the project and make final updates </t>
  </si>
  <si>
    <t xml:space="preserve">Clean up any UI errors </t>
  </si>
  <si>
    <t xml:space="preserve">Gather final screenshots into one folder and submit file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</si>
</sst>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_);_(* \(#,##0\);_(* &quot;-&quot;_);_(@_)"/>
    <numFmt numFmtId="165" formatCode="_(* #,##0.00_);_(* \(#,##0.00\);_(* &quot;-&quot;??_);_(@_)"/>
    <numFmt numFmtId="166" formatCode="ddd\,\ dd/mm/yyyy"/>
    <numFmt numFmtId="167" formatCode="d/m/yy;@"/>
    <numFmt numFmtId="168" formatCode="d"/>
    <numFmt numFmtId="169" formatCode="d\ mmm\ yyyy"/>
  </numFmts>
  <fonts count="33"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8">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8" fillId="0" borderId="0"/>
    <xf numFmtId="165"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6" fontId="7" fillId="0" borderId="3">
      <alignment horizontal="center" vertical="center"/>
    </xf>
    <xf numFmtId="167"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21" fillId="0" borderId="0" applyNumberForma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0" fontId="22" fillId="0" borderId="0" applyNumberFormat="0" applyFill="0" applyBorder="0" applyAlignment="0" applyProtection="0"/>
    <xf numFmtId="0" fontId="23" fillId="14" borderId="0" applyNumberFormat="0" applyBorder="0" applyAlignment="0" applyProtection="0"/>
    <xf numFmtId="0" fontId="24" fillId="15" borderId="0" applyNumberFormat="0" applyBorder="0" applyAlignment="0" applyProtection="0"/>
    <xf numFmtId="0" fontId="25" fillId="16" borderId="0" applyNumberFormat="0" applyBorder="0" applyAlignment="0" applyProtection="0"/>
    <xf numFmtId="0" fontId="26" fillId="17" borderId="11" applyNumberFormat="0" applyAlignment="0" applyProtection="0"/>
    <xf numFmtId="0" fontId="27" fillId="18" borderId="12" applyNumberFormat="0" applyAlignment="0" applyProtection="0"/>
    <xf numFmtId="0" fontId="28" fillId="18" borderId="11" applyNumberFormat="0" applyAlignment="0" applyProtection="0"/>
    <xf numFmtId="0" fontId="29" fillId="0" borderId="13" applyNumberFormat="0" applyFill="0" applyAlignment="0" applyProtection="0"/>
    <xf numFmtId="0" fontId="30" fillId="19" borderId="14" applyNumberFormat="0" applyAlignment="0" applyProtection="0"/>
    <xf numFmtId="0" fontId="31" fillId="0" borderId="0" applyNumberFormat="0" applyFill="0" applyBorder="0" applyAlignment="0" applyProtection="0"/>
    <xf numFmtId="0" fontId="7" fillId="20" borderId="15" applyNumberFormat="0" applyFont="0" applyAlignment="0" applyProtection="0"/>
    <xf numFmtId="0" fontId="32" fillId="0" borderId="0" applyNumberFormat="0" applyFill="0" applyBorder="0" applyAlignment="0" applyProtection="0"/>
    <xf numFmtId="0" fontId="5" fillId="0" borderId="16" applyNumberFormat="0" applyFill="0" applyAlignment="0" applyProtection="0"/>
    <xf numFmtId="0" fontId="18"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8"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8"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8"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18"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xf numFmtId="0" fontId="18"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xf numFmtId="43" fontId="7" fillId="0" borderId="3" applyFont="0" applyFill="0" applyAlignment="0" applyProtection="0"/>
    <xf numFmtId="41"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cellStyleXfs>
  <cellXfs count="81">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0" fontId="10" fillId="12" borderId="8" xfId="0" applyFont="1" applyFill="1" applyBorder="1" applyAlignment="1">
      <alignment horizontal="center" vertical="center" shrinkToFit="1"/>
    </xf>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9" borderId="2" xfId="0" applyFont="1" applyFill="1" applyBorder="1" applyAlignment="1">
      <alignment horizontal="left" vertical="center" indent="1"/>
    </xf>
    <xf numFmtId="9" fontId="4" fillId="9" borderId="2" xfId="2" applyFont="1" applyFill="1" applyBorder="1" applyAlignment="1">
      <alignment horizontal="center" vertical="center"/>
    </xf>
    <xf numFmtId="9" fontId="4" fillId="4" borderId="2" xfId="2" applyFont="1" applyFill="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11"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2" fillId="0" borderId="0" xfId="0" applyFont="1" applyAlignment="1">
      <alignment horizontal="left" vertical="center"/>
    </xf>
    <xf numFmtId="0" fontId="13" fillId="0" borderId="0" xfId="0" applyFont="1" applyAlignment="1">
      <alignment horizontal="left" vertical="center"/>
    </xf>
    <xf numFmtId="0" fontId="15" fillId="0" borderId="0" xfId="0" applyFont="1"/>
    <xf numFmtId="0" fontId="17" fillId="0" borderId="0" xfId="0" applyFont="1" applyAlignment="1">
      <alignment vertical="center"/>
    </xf>
    <xf numFmtId="0" fontId="16" fillId="0" borderId="0" xfId="0" applyFont="1" applyAlignment="1">
      <alignment horizontal="left" vertical="top" wrapText="1" indent="1"/>
    </xf>
    <xf numFmtId="0" fontId="2" fillId="0" borderId="0" xfId="0" applyFont="1" applyAlignment="1">
      <alignment horizontal="left" vertical="top"/>
    </xf>
    <xf numFmtId="0" fontId="14"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18" fillId="0" borderId="0" xfId="3"/>
    <xf numFmtId="0" fontId="18" fillId="0" borderId="0" xfId="3" applyAlignment="1">
      <alignment wrapText="1"/>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0" fontId="7" fillId="8" borderId="2" xfId="11" applyFill="1">
      <alignment horizontal="center" vertical="center"/>
    </xf>
    <xf numFmtId="0" fontId="7" fillId="3" borderId="2" xfId="11" applyFill="1">
      <alignment horizontal="center" vertical="center"/>
    </xf>
    <xf numFmtId="0" fontId="7" fillId="9" borderId="2" xfId="11" applyFill="1">
      <alignment horizontal="center" vertical="center"/>
    </xf>
    <xf numFmtId="0" fontId="7" fillId="4" borderId="2" xfId="11" applyFill="1">
      <alignment horizontal="center" vertical="center"/>
    </xf>
    <xf numFmtId="0" fontId="7" fillId="6" borderId="2" xfId="11" applyFill="1">
      <alignment horizontal="center" vertical="center"/>
    </xf>
    <xf numFmtId="0" fontId="7" fillId="11" borderId="2" xfId="11" applyFill="1">
      <alignment horizontal="center" vertical="center"/>
    </xf>
    <xf numFmtId="0" fontId="7" fillId="5" borderId="2" xfId="11" applyFill="1">
      <alignment horizontal="center" vertical="center"/>
    </xf>
    <xf numFmtId="0" fontId="7" fillId="10" borderId="2" xfId="11" applyFill="1">
      <alignment horizontal="center" vertical="center"/>
    </xf>
    <xf numFmtId="0" fontId="7" fillId="3" borderId="2" xfId="12" applyFill="1">
      <alignment horizontal="left" vertical="center" indent="2"/>
    </xf>
    <xf numFmtId="0" fontId="7" fillId="4" borderId="2" xfId="12" applyFill="1">
      <alignment horizontal="left" vertical="center" indent="2"/>
    </xf>
    <xf numFmtId="0" fontId="7" fillId="11" borderId="2" xfId="12" applyFill="1">
      <alignment horizontal="left" vertical="center" indent="2"/>
    </xf>
    <xf numFmtId="0" fontId="7" fillId="10" borderId="2" xfId="12" applyFill="1">
      <alignment horizontal="left" vertical="center" indent="2"/>
    </xf>
    <xf numFmtId="0" fontId="0" fillId="0" borderId="10" xfId="0" applyBorder="1"/>
    <xf numFmtId="0" fontId="19" fillId="0" borderId="0" xfId="0" applyFont="1"/>
    <xf numFmtId="0" fontId="20" fillId="0" borderId="0" xfId="1" applyFont="1" applyProtection="1">
      <alignment vertical="top"/>
    </xf>
    <xf numFmtId="0" fontId="4" fillId="0" borderId="0" xfId="0" applyFont="1" applyAlignment="1">
      <alignment vertical="top"/>
    </xf>
    <xf numFmtId="167" fontId="0" fillId="8" borderId="2" xfId="0" applyNumberFormat="1" applyFill="1" applyBorder="1" applyAlignment="1">
      <alignment horizontal="center" vertical="center"/>
    </xf>
    <xf numFmtId="167" fontId="4" fillId="8" borderId="2" xfId="0" applyNumberFormat="1" applyFont="1" applyFill="1" applyBorder="1" applyAlignment="1">
      <alignment horizontal="center" vertical="center"/>
    </xf>
    <xf numFmtId="167" fontId="7" fillId="3" borderId="2" xfId="10" applyFill="1">
      <alignment horizontal="center" vertical="center"/>
    </xf>
    <xf numFmtId="167" fontId="0" fillId="9" borderId="2" xfId="0" applyNumberFormat="1" applyFill="1" applyBorder="1" applyAlignment="1">
      <alignment horizontal="center" vertical="center"/>
    </xf>
    <xf numFmtId="167" fontId="4" fillId="9" borderId="2" xfId="0" applyNumberFormat="1" applyFont="1" applyFill="1" applyBorder="1" applyAlignment="1">
      <alignment horizontal="center" vertical="center"/>
    </xf>
    <xf numFmtId="167" fontId="7" fillId="4" borderId="2" xfId="10" applyFill="1">
      <alignment horizontal="center" vertical="center"/>
    </xf>
    <xf numFmtId="167" fontId="0" fillId="6" borderId="2" xfId="0" applyNumberFormat="1" applyFill="1" applyBorder="1" applyAlignment="1">
      <alignment horizontal="center" vertical="center"/>
    </xf>
    <xf numFmtId="167" fontId="4" fillId="6" borderId="2" xfId="0" applyNumberFormat="1" applyFont="1" applyFill="1" applyBorder="1" applyAlignment="1">
      <alignment horizontal="center" vertical="center"/>
    </xf>
    <xf numFmtId="167" fontId="7" fillId="11" borderId="2" xfId="10" applyFill="1">
      <alignment horizontal="center" vertical="center"/>
    </xf>
    <xf numFmtId="167" fontId="0" fillId="5" borderId="2" xfId="0" applyNumberFormat="1" applyFill="1" applyBorder="1" applyAlignment="1">
      <alignment horizontal="center" vertical="center"/>
    </xf>
    <xf numFmtId="167" fontId="4" fillId="5" borderId="2" xfId="0" applyNumberFormat="1" applyFont="1" applyFill="1" applyBorder="1" applyAlignment="1">
      <alignment horizontal="center" vertical="center"/>
    </xf>
    <xf numFmtId="167" fontId="7" fillId="10" borderId="2" xfId="10" applyFill="1">
      <alignment horizontal="center" vertical="center"/>
    </xf>
    <xf numFmtId="168" fontId="9" fillId="7" borderId="6" xfId="0" applyNumberFormat="1" applyFont="1" applyFill="1" applyBorder="1" applyAlignment="1">
      <alignment horizontal="center" vertical="center"/>
    </xf>
    <xf numFmtId="168" fontId="9" fillId="7" borderId="0" xfId="0" applyNumberFormat="1" applyFont="1" applyFill="1" applyAlignment="1">
      <alignment horizontal="center" vertical="center"/>
    </xf>
    <xf numFmtId="168" fontId="9" fillId="7" borderId="7" xfId="0" applyNumberFormat="1" applyFont="1" applyFill="1" applyBorder="1" applyAlignment="1">
      <alignment horizontal="center" vertical="center"/>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6" fontId="7" fillId="0" borderId="3" xfId="9">
      <alignment horizontal="center" vertical="center"/>
    </xf>
    <xf numFmtId="0" fontId="7" fillId="0" borderId="0" xfId="8">
      <alignment horizontal="right" indent="1"/>
    </xf>
    <xf numFmtId="0" fontId="7" fillId="0" borderId="7" xfId="8" applyBorder="1">
      <alignment horizontal="right" indent="1"/>
    </xf>
  </cellXfs>
  <cellStyles count="58">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omma [0] 2" xfId="55" xr:uid="{EC41025D-ED5C-4D52-830B-2B2131016AC4}"/>
    <cellStyle name="Comma 2" xfId="54" xr:uid="{5258BEE2-3F56-4006-A4E7-C2B437CB45A3}"/>
    <cellStyle name="Currency" xfId="15" builtinId="4" customBuiltin="1"/>
    <cellStyle name="Currency [0]" xfId="16" builtinId="7" customBuiltin="1"/>
    <cellStyle name="Currency [0] 2" xfId="57" xr:uid="{F6BDDE83-79AB-4E1A-91A2-CB537ED362C5}"/>
    <cellStyle name="Currency 2" xfId="56" xr:uid="{B9336F0C-1BDB-4FB7-BDD9-E965E914F3C8}"/>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14">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secondRowStripe" dxfId="7"/>
      <tableStyleElement type="firstColumnStripe" dxfId="6"/>
      <tableStyleElement type="secondColumn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81"/>
  <sheetViews>
    <sheetView showGridLines="0" tabSelected="1" showRuler="0" zoomScale="89" zoomScaleNormal="65" zoomScalePageLayoutView="70" workbookViewId="0">
      <pane ySplit="6" topLeftCell="A8" activePane="bottomLeft" state="frozen"/>
      <selection pane="bottomLeft" activeCell="B80" sqref="B80"/>
    </sheetView>
  </sheetViews>
  <sheetFormatPr defaultRowHeight="30" customHeight="1" x14ac:dyDescent="0.25"/>
  <cols>
    <col min="1" max="1" width="2.7109375" style="38" customWidth="1"/>
    <col min="2" max="2" width="47.5703125" customWidth="1"/>
    <col min="3" max="3" width="13.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x14ac:dyDescent="0.45">
      <c r="A1" s="39" t="s">
        <v>0</v>
      </c>
      <c r="B1" s="41" t="s">
        <v>14</v>
      </c>
      <c r="C1" s="1"/>
      <c r="D1" s="2"/>
      <c r="E1" s="4"/>
      <c r="F1" s="27"/>
      <c r="H1" s="2"/>
      <c r="I1" s="57" t="s">
        <v>22</v>
      </c>
    </row>
    <row r="2" spans="1:64" ht="30" customHeight="1" x14ac:dyDescent="0.3">
      <c r="A2" s="38" t="s">
        <v>1</v>
      </c>
      <c r="B2" s="42"/>
      <c r="I2" s="58" t="s">
        <v>23</v>
      </c>
    </row>
    <row r="3" spans="1:64" ht="30" customHeight="1" x14ac:dyDescent="0.25">
      <c r="A3" s="38" t="s">
        <v>2</v>
      </c>
      <c r="B3" s="43"/>
      <c r="C3" s="79" t="s">
        <v>16</v>
      </c>
      <c r="D3" s="80"/>
      <c r="E3" s="78">
        <v>45950</v>
      </c>
      <c r="F3" s="78"/>
    </row>
    <row r="4" spans="1:64" ht="30" customHeight="1" x14ac:dyDescent="0.25">
      <c r="A4" s="39" t="s">
        <v>3</v>
      </c>
      <c r="C4" s="79" t="s">
        <v>17</v>
      </c>
      <c r="D4" s="80"/>
      <c r="E4" s="6">
        <v>1</v>
      </c>
      <c r="I4" s="75">
        <f ca="1">I5</f>
        <v>45950</v>
      </c>
      <c r="J4" s="76"/>
      <c r="K4" s="76"/>
      <c r="L4" s="76"/>
      <c r="M4" s="76"/>
      <c r="N4" s="76"/>
      <c r="O4" s="77"/>
      <c r="P4" s="75">
        <f ca="1">P5</f>
        <v>45957</v>
      </c>
      <c r="Q4" s="76"/>
      <c r="R4" s="76"/>
      <c r="S4" s="76"/>
      <c r="T4" s="76"/>
      <c r="U4" s="76"/>
      <c r="V4" s="77"/>
      <c r="W4" s="75">
        <f ca="1">W5</f>
        <v>45964</v>
      </c>
      <c r="X4" s="76"/>
      <c r="Y4" s="76"/>
      <c r="Z4" s="76"/>
      <c r="AA4" s="76"/>
      <c r="AB4" s="76"/>
      <c r="AC4" s="77"/>
      <c r="AD4" s="75">
        <f ca="1">AD5</f>
        <v>45971</v>
      </c>
      <c r="AE4" s="76"/>
      <c r="AF4" s="76"/>
      <c r="AG4" s="76"/>
      <c r="AH4" s="76"/>
      <c r="AI4" s="76"/>
      <c r="AJ4" s="77"/>
      <c r="AK4" s="75">
        <f ca="1">AK5</f>
        <v>45978</v>
      </c>
      <c r="AL4" s="76"/>
      <c r="AM4" s="76"/>
      <c r="AN4" s="76"/>
      <c r="AO4" s="76"/>
      <c r="AP4" s="76"/>
      <c r="AQ4" s="77"/>
      <c r="AR4" s="75">
        <f ca="1">AR5</f>
        <v>45985</v>
      </c>
      <c r="AS4" s="76"/>
      <c r="AT4" s="76"/>
      <c r="AU4" s="76"/>
      <c r="AV4" s="76"/>
      <c r="AW4" s="76"/>
      <c r="AX4" s="77"/>
      <c r="AY4" s="75">
        <f ca="1">AY5</f>
        <v>45992</v>
      </c>
      <c r="AZ4" s="76"/>
      <c r="BA4" s="76"/>
      <c r="BB4" s="76"/>
      <c r="BC4" s="76"/>
      <c r="BD4" s="76"/>
      <c r="BE4" s="77"/>
      <c r="BF4" s="75">
        <f ca="1">BF5</f>
        <v>45999</v>
      </c>
      <c r="BG4" s="76"/>
      <c r="BH4" s="76"/>
      <c r="BI4" s="76"/>
      <c r="BJ4" s="76"/>
      <c r="BK4" s="76"/>
      <c r="BL4" s="77"/>
    </row>
    <row r="5" spans="1:64" ht="15" customHeight="1" x14ac:dyDescent="0.25">
      <c r="A5" s="39" t="s">
        <v>4</v>
      </c>
      <c r="B5" s="56"/>
      <c r="C5" s="56"/>
      <c r="D5" s="56"/>
      <c r="E5" s="56"/>
      <c r="F5" s="56"/>
      <c r="G5" s="56"/>
      <c r="I5" s="72">
        <f ca="1">ProjectSchedule!$K$5</f>
        <v>45952</v>
      </c>
      <c r="J5" s="73">
        <f ca="1">I5+1</f>
        <v>45953</v>
      </c>
      <c r="K5" s="73">
        <f t="shared" ref="K5:BL5" ca="1" si="0">J5+1</f>
        <v>45954</v>
      </c>
      <c r="L5" s="73">
        <f t="shared" ca="1" si="0"/>
        <v>45955</v>
      </c>
      <c r="M5" s="73">
        <f t="shared" ca="1" si="0"/>
        <v>45956</v>
      </c>
      <c r="N5" s="73">
        <f t="shared" ca="1" si="0"/>
        <v>45957</v>
      </c>
      <c r="O5" s="74">
        <f t="shared" ca="1" si="0"/>
        <v>45958</v>
      </c>
      <c r="P5" s="72">
        <f ca="1">O5+1</f>
        <v>45959</v>
      </c>
      <c r="Q5" s="73">
        <f ca="1">P5+1</f>
        <v>45960</v>
      </c>
      <c r="R5" s="73">
        <f t="shared" ca="1" si="0"/>
        <v>45961</v>
      </c>
      <c r="S5" s="73">
        <f t="shared" ca="1" si="0"/>
        <v>45962</v>
      </c>
      <c r="T5" s="73">
        <f t="shared" ca="1" si="0"/>
        <v>45963</v>
      </c>
      <c r="U5" s="73">
        <f t="shared" ca="1" si="0"/>
        <v>45964</v>
      </c>
      <c r="V5" s="74">
        <f t="shared" ca="1" si="0"/>
        <v>45965</v>
      </c>
      <c r="W5" s="72">
        <f ca="1">V5+1</f>
        <v>45966</v>
      </c>
      <c r="X5" s="73">
        <f ca="1">W5+1</f>
        <v>45967</v>
      </c>
      <c r="Y5" s="73">
        <f t="shared" ca="1" si="0"/>
        <v>45968</v>
      </c>
      <c r="Z5" s="73">
        <f t="shared" ca="1" si="0"/>
        <v>45969</v>
      </c>
      <c r="AA5" s="73">
        <f t="shared" ca="1" si="0"/>
        <v>45970</v>
      </c>
      <c r="AB5" s="73">
        <f t="shared" ca="1" si="0"/>
        <v>45971</v>
      </c>
      <c r="AC5" s="74">
        <f t="shared" ca="1" si="0"/>
        <v>45972</v>
      </c>
      <c r="AD5" s="72">
        <f ca="1">AC5+1</f>
        <v>45973</v>
      </c>
      <c r="AE5" s="73">
        <f ca="1">AD5+1</f>
        <v>45974</v>
      </c>
      <c r="AF5" s="73">
        <f t="shared" ca="1" si="0"/>
        <v>45975</v>
      </c>
      <c r="AG5" s="73">
        <f t="shared" ca="1" si="0"/>
        <v>45976</v>
      </c>
      <c r="AH5" s="73">
        <f t="shared" ca="1" si="0"/>
        <v>45977</v>
      </c>
      <c r="AI5" s="73">
        <f t="shared" ca="1" si="0"/>
        <v>45978</v>
      </c>
      <c r="AJ5" s="74">
        <f t="shared" ca="1" si="0"/>
        <v>45979</v>
      </c>
      <c r="AK5" s="72">
        <f ca="1">AJ5+1</f>
        <v>45980</v>
      </c>
      <c r="AL5" s="73">
        <f ca="1">AK5+1</f>
        <v>45981</v>
      </c>
      <c r="AM5" s="73">
        <f t="shared" ca="1" si="0"/>
        <v>45982</v>
      </c>
      <c r="AN5" s="73">
        <f t="shared" ca="1" si="0"/>
        <v>45983</v>
      </c>
      <c r="AO5" s="73">
        <f t="shared" ca="1" si="0"/>
        <v>45984</v>
      </c>
      <c r="AP5" s="73">
        <f t="shared" ca="1" si="0"/>
        <v>45985</v>
      </c>
      <c r="AQ5" s="74">
        <f t="shared" ca="1" si="0"/>
        <v>45986</v>
      </c>
      <c r="AR5" s="72">
        <f ca="1">AQ5+1</f>
        <v>45987</v>
      </c>
      <c r="AS5" s="73">
        <f ca="1">AR5+1</f>
        <v>45988</v>
      </c>
      <c r="AT5" s="73">
        <f t="shared" ca="1" si="0"/>
        <v>45989</v>
      </c>
      <c r="AU5" s="73">
        <f t="shared" ca="1" si="0"/>
        <v>45990</v>
      </c>
      <c r="AV5" s="73">
        <f t="shared" ca="1" si="0"/>
        <v>45991</v>
      </c>
      <c r="AW5" s="73">
        <f t="shared" ca="1" si="0"/>
        <v>45992</v>
      </c>
      <c r="AX5" s="74">
        <f t="shared" ca="1" si="0"/>
        <v>45993</v>
      </c>
      <c r="AY5" s="72">
        <f t="shared" ca="1" si="0"/>
        <v>45994</v>
      </c>
      <c r="AZ5" s="73">
        <f t="shared" ca="1" si="0"/>
        <v>45995</v>
      </c>
      <c r="BA5" s="73">
        <f t="shared" ca="1" si="0"/>
        <v>45996</v>
      </c>
      <c r="BB5" s="73">
        <f t="shared" ca="1" si="0"/>
        <v>45997</v>
      </c>
      <c r="BC5" s="73">
        <f t="shared" ca="1" si="0"/>
        <v>45998</v>
      </c>
      <c r="BD5" s="73">
        <f t="shared" ca="1" si="0"/>
        <v>45999</v>
      </c>
      <c r="BE5" s="74">
        <f t="shared" ca="1" si="0"/>
        <v>46000</v>
      </c>
      <c r="BF5" s="72">
        <f t="shared" ca="1" si="0"/>
        <v>46001</v>
      </c>
      <c r="BG5" s="73">
        <f t="shared" ca="1" si="0"/>
        <v>46002</v>
      </c>
      <c r="BH5" s="73">
        <f t="shared" ca="1" si="0"/>
        <v>46003</v>
      </c>
      <c r="BI5" s="73">
        <f t="shared" ca="1" si="0"/>
        <v>46004</v>
      </c>
      <c r="BJ5" s="73">
        <f t="shared" ca="1" si="0"/>
        <v>46005</v>
      </c>
      <c r="BK5" s="73">
        <f t="shared" ca="1" si="0"/>
        <v>46006</v>
      </c>
      <c r="BL5" s="74">
        <f t="shared" ca="1" si="0"/>
        <v>46007</v>
      </c>
    </row>
    <row r="6" spans="1:64" ht="30" customHeight="1" thickBot="1" x14ac:dyDescent="0.3">
      <c r="A6" s="39" t="s">
        <v>5</v>
      </c>
      <c r="B6" s="7" t="s">
        <v>15</v>
      </c>
      <c r="C6" s="8"/>
      <c r="D6" s="8" t="s">
        <v>18</v>
      </c>
      <c r="E6" s="8" t="s">
        <v>19</v>
      </c>
      <c r="F6" s="8" t="s">
        <v>20</v>
      </c>
      <c r="G6" s="8"/>
      <c r="H6" s="8" t="s">
        <v>21</v>
      </c>
      <c r="I6" s="9" t="str">
        <f ca="1">LEFT(TEXT(I5,"ddd"),1)</f>
        <v>M</v>
      </c>
      <c r="J6" s="9" t="str">
        <f t="shared" ref="J6:AR6" ca="1" si="1">LEFT(TEXT(J5,"ddd"),1)</f>
        <v>T</v>
      </c>
      <c r="K6" s="9" t="str">
        <f t="shared" ca="1" si="1"/>
        <v>W</v>
      </c>
      <c r="L6" s="9" t="str">
        <f t="shared" ca="1" si="1"/>
        <v>T</v>
      </c>
      <c r="M6" s="9" t="str">
        <f t="shared" ca="1" si="1"/>
        <v>F</v>
      </c>
      <c r="N6" s="9" t="str">
        <f t="shared" ca="1" si="1"/>
        <v>S</v>
      </c>
      <c r="O6" s="9" t="str">
        <f t="shared" ca="1" si="1"/>
        <v>S</v>
      </c>
      <c r="P6" s="9" t="str">
        <f t="shared" ca="1" si="1"/>
        <v>M</v>
      </c>
      <c r="Q6" s="9" t="str">
        <f t="shared" ca="1" si="1"/>
        <v>T</v>
      </c>
      <c r="R6" s="9" t="str">
        <f t="shared" ca="1" si="1"/>
        <v>W</v>
      </c>
      <c r="S6" s="9" t="str">
        <f t="shared" ca="1" si="1"/>
        <v>T</v>
      </c>
      <c r="T6" s="9" t="str">
        <f t="shared" ca="1" si="1"/>
        <v>F</v>
      </c>
      <c r="U6" s="9" t="str">
        <f t="shared" ca="1" si="1"/>
        <v>S</v>
      </c>
      <c r="V6" s="9" t="str">
        <f t="shared" ca="1" si="1"/>
        <v>S</v>
      </c>
      <c r="W6" s="9" t="str">
        <f t="shared" ca="1" si="1"/>
        <v>M</v>
      </c>
      <c r="X6" s="9" t="str">
        <f t="shared" ca="1" si="1"/>
        <v>T</v>
      </c>
      <c r="Y6" s="9" t="str">
        <f t="shared" ca="1" si="1"/>
        <v>W</v>
      </c>
      <c r="Z6" s="9" t="str">
        <f t="shared" ca="1" si="1"/>
        <v>T</v>
      </c>
      <c r="AA6" s="9" t="str">
        <f t="shared" ca="1" si="1"/>
        <v>F</v>
      </c>
      <c r="AB6" s="9" t="str">
        <f t="shared" ca="1" si="1"/>
        <v>S</v>
      </c>
      <c r="AC6" s="9" t="str">
        <f t="shared" ca="1" si="1"/>
        <v>S</v>
      </c>
      <c r="AD6" s="9" t="str">
        <f t="shared" ca="1" si="1"/>
        <v>M</v>
      </c>
      <c r="AE6" s="9" t="str">
        <f t="shared" ca="1" si="1"/>
        <v>T</v>
      </c>
      <c r="AF6" s="9" t="str">
        <f t="shared" ca="1" si="1"/>
        <v>W</v>
      </c>
      <c r="AG6" s="9" t="str">
        <f t="shared" ca="1" si="1"/>
        <v>T</v>
      </c>
      <c r="AH6" s="9" t="str">
        <f t="shared" ca="1" si="1"/>
        <v>F</v>
      </c>
      <c r="AI6" s="9" t="str">
        <f t="shared" ca="1" si="1"/>
        <v>S</v>
      </c>
      <c r="AJ6" s="9" t="str">
        <f t="shared" ca="1" si="1"/>
        <v>S</v>
      </c>
      <c r="AK6" s="9" t="str">
        <f t="shared" ca="1" si="1"/>
        <v>M</v>
      </c>
      <c r="AL6" s="9" t="str">
        <f t="shared" ca="1" si="1"/>
        <v>T</v>
      </c>
      <c r="AM6" s="9" t="str">
        <f t="shared" ca="1" si="1"/>
        <v>W</v>
      </c>
      <c r="AN6" s="9" t="str">
        <f t="shared" ca="1" si="1"/>
        <v>T</v>
      </c>
      <c r="AO6" s="9" t="str">
        <f t="shared" ca="1" si="1"/>
        <v>F</v>
      </c>
      <c r="AP6" s="9" t="str">
        <f t="shared" ca="1" si="1"/>
        <v>S</v>
      </c>
      <c r="AQ6" s="9" t="str">
        <f t="shared" ca="1" si="1"/>
        <v>S</v>
      </c>
      <c r="AR6" s="9" t="str">
        <f t="shared" ca="1" si="1"/>
        <v>M</v>
      </c>
      <c r="AS6" s="9" t="str">
        <f t="shared" ref="AS6:BL6" ca="1" si="2">LEFT(TEXT(AS5,"ddd"),1)</f>
        <v>T</v>
      </c>
      <c r="AT6" s="9" t="str">
        <f t="shared" ca="1" si="2"/>
        <v>W</v>
      </c>
      <c r="AU6" s="9" t="str">
        <f t="shared" ca="1" si="2"/>
        <v>T</v>
      </c>
      <c r="AV6" s="9" t="str">
        <f t="shared" ca="1" si="2"/>
        <v>F</v>
      </c>
      <c r="AW6" s="9" t="str">
        <f t="shared" ca="1" si="2"/>
        <v>S</v>
      </c>
      <c r="AX6" s="9" t="str">
        <f t="shared" ca="1" si="2"/>
        <v>S</v>
      </c>
      <c r="AY6" s="9" t="str">
        <f t="shared" ca="1" si="2"/>
        <v>M</v>
      </c>
      <c r="AZ6" s="9" t="str">
        <f t="shared" ca="1" si="2"/>
        <v>T</v>
      </c>
      <c r="BA6" s="9" t="str">
        <f t="shared" ca="1" si="2"/>
        <v>W</v>
      </c>
      <c r="BB6" s="9" t="str">
        <f t="shared" ca="1" si="2"/>
        <v>T</v>
      </c>
      <c r="BC6" s="9" t="str">
        <f t="shared" ca="1" si="2"/>
        <v>F</v>
      </c>
      <c r="BD6" s="9" t="str">
        <f t="shared" ca="1" si="2"/>
        <v>S</v>
      </c>
      <c r="BE6" s="9" t="str">
        <f t="shared" ca="1" si="2"/>
        <v>S</v>
      </c>
      <c r="BF6" s="9" t="str">
        <f t="shared" ca="1" si="2"/>
        <v>M</v>
      </c>
      <c r="BG6" s="9" t="str">
        <f t="shared" ca="1" si="2"/>
        <v>T</v>
      </c>
      <c r="BH6" s="9" t="str">
        <f t="shared" ca="1" si="2"/>
        <v>W</v>
      </c>
      <c r="BI6" s="9" t="str">
        <f t="shared" ca="1" si="2"/>
        <v>T</v>
      </c>
      <c r="BJ6" s="9" t="str">
        <f t="shared" ca="1" si="2"/>
        <v>F</v>
      </c>
      <c r="BK6" s="9" t="str">
        <f t="shared" ca="1" si="2"/>
        <v>S</v>
      </c>
      <c r="BL6" s="9" t="str">
        <f t="shared" ca="1" si="2"/>
        <v>S</v>
      </c>
    </row>
    <row r="7" spans="1:64" ht="30" hidden="1" customHeight="1" thickBot="1" x14ac:dyDescent="0.3">
      <c r="A7" s="38" t="s">
        <v>6</v>
      </c>
      <c r="C7" s="40"/>
      <c r="E7"/>
      <c r="H7" t="str">
        <f>IF(OR(ISBLANK(task_start),ISBLANK(task_end)),"",task_end-task_start+1)</f>
        <v/>
      </c>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s="3" customFormat="1" ht="39" customHeight="1" thickBot="1" x14ac:dyDescent="0.3">
      <c r="A8" s="39" t="s">
        <v>7</v>
      </c>
      <c r="B8" s="17" t="s">
        <v>38</v>
      </c>
      <c r="C8" s="48"/>
      <c r="D8" s="18"/>
      <c r="E8" s="66"/>
      <c r="F8" s="67"/>
      <c r="G8" s="10"/>
      <c r="H8" s="10" t="str">
        <f t="shared" ref="H8:H73" si="3">IF(OR(ISBLANK(task_start),ISBLANK(task_end)),"",task_end-task_start+1)</f>
        <v/>
      </c>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s="3" customFormat="1" ht="30" customHeight="1" thickBot="1" x14ac:dyDescent="0.3">
      <c r="A9" s="39" t="s">
        <v>8</v>
      </c>
      <c r="B9" s="54" t="s">
        <v>39</v>
      </c>
      <c r="C9" s="49"/>
      <c r="D9" s="19">
        <v>1</v>
      </c>
      <c r="E9" s="68">
        <v>45950</v>
      </c>
      <c r="F9" s="68">
        <v>45952</v>
      </c>
      <c r="G9" s="10"/>
      <c r="H9" s="10">
        <f t="shared" si="3"/>
        <v>3</v>
      </c>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s="3" customFormat="1" ht="30" customHeight="1" thickBot="1" x14ac:dyDescent="0.3">
      <c r="A10" s="39" t="s">
        <v>9</v>
      </c>
      <c r="B10" s="54" t="s">
        <v>40</v>
      </c>
      <c r="C10" s="49"/>
      <c r="D10" s="19">
        <v>1</v>
      </c>
      <c r="E10" s="68">
        <v>45952</v>
      </c>
      <c r="F10" s="68">
        <v>45955</v>
      </c>
      <c r="G10" s="10"/>
      <c r="H10" s="10">
        <f t="shared" si="3"/>
        <v>4</v>
      </c>
      <c r="I10" s="24"/>
      <c r="J10" s="24"/>
      <c r="K10" s="24"/>
      <c r="L10" s="24"/>
      <c r="M10" s="24"/>
      <c r="N10" s="24"/>
      <c r="O10" s="24"/>
      <c r="P10" s="24"/>
      <c r="Q10" s="24"/>
      <c r="R10" s="24"/>
      <c r="S10" s="24"/>
      <c r="T10" s="24"/>
      <c r="U10" s="25"/>
      <c r="V10" s="25"/>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s="3" customFormat="1" ht="30" customHeight="1" thickBot="1" x14ac:dyDescent="0.3">
      <c r="A11" s="38"/>
      <c r="B11" s="54" t="s">
        <v>44</v>
      </c>
      <c r="C11" s="49"/>
      <c r="D11" s="19">
        <v>1</v>
      </c>
      <c r="E11" s="68">
        <v>45953</v>
      </c>
      <c r="F11" s="68">
        <v>45959</v>
      </c>
      <c r="G11" s="10"/>
      <c r="H11" s="10">
        <f t="shared" si="3"/>
        <v>7</v>
      </c>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s="3" customFormat="1" ht="30" customHeight="1" thickBot="1" x14ac:dyDescent="0.3">
      <c r="A12" s="38"/>
      <c r="B12" s="54" t="s">
        <v>45</v>
      </c>
      <c r="C12" s="49"/>
      <c r="D12" s="19">
        <v>1</v>
      </c>
      <c r="E12" s="68">
        <v>45955</v>
      </c>
      <c r="F12" s="68">
        <v>45958</v>
      </c>
      <c r="G12" s="10"/>
      <c r="H12" s="10">
        <f t="shared" si="3"/>
        <v>4</v>
      </c>
      <c r="I12" s="24"/>
      <c r="J12" s="24"/>
      <c r="K12" s="24"/>
      <c r="L12" s="24"/>
      <c r="M12" s="24"/>
      <c r="N12" s="24"/>
      <c r="O12" s="24"/>
      <c r="P12" s="24"/>
      <c r="Q12" s="24"/>
      <c r="R12" s="24"/>
      <c r="S12" s="24"/>
      <c r="T12" s="24"/>
      <c r="U12" s="24"/>
      <c r="V12" s="24"/>
      <c r="W12" s="24"/>
      <c r="X12" s="24"/>
      <c r="Y12" s="25"/>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s="3" customFormat="1" ht="30" customHeight="1" thickBot="1" x14ac:dyDescent="0.3">
      <c r="A13" s="38"/>
      <c r="B13" s="54" t="s">
        <v>46</v>
      </c>
      <c r="C13" s="49"/>
      <c r="D13" s="19">
        <v>1</v>
      </c>
      <c r="E13" s="68">
        <v>45957</v>
      </c>
      <c r="F13" s="68">
        <v>45960</v>
      </c>
      <c r="G13" s="10"/>
      <c r="H13" s="10">
        <f t="shared" si="3"/>
        <v>4</v>
      </c>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s="3" customFormat="1" ht="30" customHeight="1" thickBot="1" x14ac:dyDescent="0.3">
      <c r="A14" s="39" t="s">
        <v>10</v>
      </c>
      <c r="B14" s="20" t="s">
        <v>56</v>
      </c>
      <c r="C14" s="50"/>
      <c r="D14" s="21"/>
      <c r="E14" s="69"/>
      <c r="F14" s="70"/>
      <c r="G14" s="10"/>
      <c r="H14" s="10" t="str">
        <f t="shared" si="3"/>
        <v/>
      </c>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s="3" customFormat="1" ht="30" customHeight="1" thickBot="1" x14ac:dyDescent="0.3">
      <c r="A15" s="39"/>
      <c r="B15" s="55" t="s">
        <v>53</v>
      </c>
      <c r="C15" s="51"/>
      <c r="D15" s="22">
        <v>1</v>
      </c>
      <c r="E15" s="71">
        <v>45964</v>
      </c>
      <c r="F15" s="71">
        <v>45966</v>
      </c>
      <c r="G15" s="10"/>
      <c r="H15" s="10">
        <f t="shared" si="3"/>
        <v>3</v>
      </c>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s="3" customFormat="1" ht="30" customHeight="1" thickBot="1" x14ac:dyDescent="0.3">
      <c r="A16" s="39"/>
      <c r="B16" s="55" t="s">
        <v>41</v>
      </c>
      <c r="C16" s="51"/>
      <c r="D16" s="22">
        <v>1</v>
      </c>
      <c r="E16" s="71">
        <v>45967</v>
      </c>
      <c r="F16" s="71">
        <v>45969</v>
      </c>
      <c r="G16" s="10"/>
      <c r="H16" s="10"/>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s="3" customFormat="1" ht="30" customHeight="1" thickBot="1" x14ac:dyDescent="0.3">
      <c r="A17" s="38"/>
      <c r="B17" s="55" t="s">
        <v>42</v>
      </c>
      <c r="C17" s="51"/>
      <c r="D17" s="22">
        <v>1</v>
      </c>
      <c r="E17" s="71">
        <v>45969</v>
      </c>
      <c r="F17" s="71">
        <v>45971</v>
      </c>
      <c r="G17" s="10"/>
      <c r="H17" s="10">
        <f t="shared" si="3"/>
        <v>3</v>
      </c>
      <c r="I17" s="24"/>
      <c r="J17" s="24"/>
      <c r="K17" s="24"/>
      <c r="L17" s="24"/>
      <c r="M17" s="24"/>
      <c r="N17" s="24"/>
      <c r="O17" s="24"/>
      <c r="P17" s="24"/>
      <c r="Q17" s="24"/>
      <c r="R17" s="24"/>
      <c r="S17" s="24"/>
      <c r="T17" s="24"/>
      <c r="U17" s="25"/>
      <c r="V17" s="25"/>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s="3" customFormat="1" ht="30" customHeight="1" thickBot="1" x14ac:dyDescent="0.3">
      <c r="A18" s="38"/>
      <c r="B18" s="55" t="s">
        <v>52</v>
      </c>
      <c r="C18" s="51"/>
      <c r="D18" s="22">
        <v>1</v>
      </c>
      <c r="E18" s="71">
        <v>45971</v>
      </c>
      <c r="F18" s="71">
        <v>45973</v>
      </c>
      <c r="G18" s="10"/>
      <c r="H18" s="10"/>
      <c r="I18" s="24"/>
      <c r="J18" s="24"/>
      <c r="K18" s="24"/>
      <c r="L18" s="24"/>
      <c r="M18" s="24"/>
      <c r="N18" s="24"/>
      <c r="O18" s="24"/>
      <c r="P18" s="24"/>
      <c r="Q18" s="24"/>
      <c r="R18" s="24"/>
      <c r="S18" s="24"/>
      <c r="T18" s="24"/>
      <c r="U18" s="25"/>
      <c r="V18" s="25"/>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s="3" customFormat="1" ht="30" customHeight="1" thickBot="1" x14ac:dyDescent="0.3">
      <c r="A19" s="38"/>
      <c r="B19" s="55" t="s">
        <v>43</v>
      </c>
      <c r="C19" s="51"/>
      <c r="D19" s="22">
        <v>1</v>
      </c>
      <c r="E19" s="71">
        <v>45973</v>
      </c>
      <c r="F19" s="71">
        <v>45976</v>
      </c>
      <c r="G19" s="10"/>
      <c r="H19" s="10">
        <f t="shared" si="3"/>
        <v>4</v>
      </c>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s="3" customFormat="1" ht="30" customHeight="1" thickBot="1" x14ac:dyDescent="0.3">
      <c r="A20" s="38"/>
      <c r="B20" s="55" t="s">
        <v>47</v>
      </c>
      <c r="C20" s="51"/>
      <c r="D20" s="22">
        <v>1</v>
      </c>
      <c r="E20" s="71">
        <v>45977</v>
      </c>
      <c r="F20" s="71">
        <v>45978</v>
      </c>
      <c r="G20" s="10"/>
      <c r="H20" s="10">
        <f t="shared" si="3"/>
        <v>2</v>
      </c>
      <c r="I20" s="24"/>
      <c r="J20" s="24"/>
      <c r="K20" s="24"/>
      <c r="L20" s="24"/>
      <c r="M20" s="24"/>
      <c r="N20" s="24"/>
      <c r="O20" s="24"/>
      <c r="P20" s="24"/>
      <c r="Q20" s="24"/>
      <c r="R20" s="24"/>
      <c r="S20" s="24"/>
      <c r="T20" s="24"/>
      <c r="U20" s="24"/>
      <c r="V20" s="24"/>
      <c r="W20" s="24"/>
      <c r="X20" s="24"/>
      <c r="Y20" s="25"/>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s="3" customFormat="1" ht="30" customHeight="1" thickBot="1" x14ac:dyDescent="0.3">
      <c r="A21" s="38" t="s">
        <v>11</v>
      </c>
      <c r="B21" s="11" t="s">
        <v>55</v>
      </c>
      <c r="C21" s="44"/>
      <c r="D21" s="12"/>
      <c r="E21" s="60"/>
      <c r="F21" s="61"/>
      <c r="G21" s="10"/>
      <c r="H21" s="10" t="str">
        <f t="shared" si="3"/>
        <v/>
      </c>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s="3" customFormat="1" ht="30" customHeight="1" thickBot="1" x14ac:dyDescent="0.3">
      <c r="A22" s="38"/>
      <c r="B22" s="52" t="s">
        <v>48</v>
      </c>
      <c r="C22" s="45"/>
      <c r="D22" s="13">
        <v>1</v>
      </c>
      <c r="E22" s="62">
        <v>45978</v>
      </c>
      <c r="F22" s="62">
        <v>45978</v>
      </c>
      <c r="G22" s="10"/>
      <c r="H22" s="10">
        <f t="shared" si="3"/>
        <v>1</v>
      </c>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s="3" customFormat="1" ht="30" customHeight="1" thickBot="1" x14ac:dyDescent="0.3">
      <c r="A23" s="38"/>
      <c r="B23" s="52" t="s">
        <v>49</v>
      </c>
      <c r="C23" s="45"/>
      <c r="D23" s="13">
        <v>1</v>
      </c>
      <c r="E23" s="62">
        <v>45979</v>
      </c>
      <c r="F23" s="62">
        <v>45980</v>
      </c>
      <c r="G23" s="10"/>
      <c r="H23" s="10">
        <f t="shared" si="3"/>
        <v>2</v>
      </c>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s="3" customFormat="1" ht="30" customHeight="1" thickBot="1" x14ac:dyDescent="0.3">
      <c r="A24" s="38"/>
      <c r="B24" s="52" t="s">
        <v>50</v>
      </c>
      <c r="C24" s="45"/>
      <c r="D24" s="13"/>
      <c r="E24" s="62"/>
      <c r="F24" s="62"/>
      <c r="G24" s="10"/>
      <c r="H24" s="10" t="str">
        <f t="shared" si="3"/>
        <v/>
      </c>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s="3" customFormat="1" ht="30" customHeight="1" thickBot="1" x14ac:dyDescent="0.3">
      <c r="A25" s="38"/>
      <c r="B25" s="52" t="s">
        <v>51</v>
      </c>
      <c r="C25" s="45"/>
      <c r="D25" s="13">
        <v>1</v>
      </c>
      <c r="E25" s="62">
        <v>45979</v>
      </c>
      <c r="F25" s="62">
        <v>45980</v>
      </c>
      <c r="G25" s="10"/>
      <c r="H25" s="10">
        <f t="shared" si="3"/>
        <v>2</v>
      </c>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s="3" customFormat="1" ht="30" customHeight="1" thickBot="1" x14ac:dyDescent="0.3">
      <c r="A26" s="38"/>
      <c r="B26" s="52" t="s">
        <v>54</v>
      </c>
      <c r="C26" s="45"/>
      <c r="D26" s="13"/>
      <c r="E26" s="62"/>
      <c r="F26" s="62"/>
      <c r="G26" s="10"/>
      <c r="H26" s="10" t="str">
        <f t="shared" si="3"/>
        <v/>
      </c>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s="3" customFormat="1" ht="30" customHeight="1" thickBot="1" x14ac:dyDescent="0.3">
      <c r="A27" s="38" t="s">
        <v>11</v>
      </c>
      <c r="B27" s="14" t="s">
        <v>57</v>
      </c>
      <c r="C27" s="46"/>
      <c r="D27" s="15"/>
      <c r="E27" s="63"/>
      <c r="F27" s="64"/>
      <c r="G27" s="10"/>
      <c r="H27" s="10" t="str">
        <f t="shared" si="3"/>
        <v/>
      </c>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s="3" customFormat="1" ht="30" customHeight="1" thickBot="1" x14ac:dyDescent="0.3">
      <c r="A28" s="38"/>
      <c r="B28" s="53" t="s">
        <v>65</v>
      </c>
      <c r="C28" s="47"/>
      <c r="D28" s="16"/>
      <c r="E28" s="65"/>
      <c r="F28" s="65"/>
      <c r="G28" s="10"/>
      <c r="H28" s="10" t="str">
        <f t="shared" si="3"/>
        <v/>
      </c>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s="3" customFormat="1" ht="30" customHeight="1" thickBot="1" x14ac:dyDescent="0.3">
      <c r="A29" s="38"/>
      <c r="B29" s="53" t="s">
        <v>66</v>
      </c>
      <c r="C29" s="47"/>
      <c r="D29" s="16"/>
      <c r="E29" s="65"/>
      <c r="F29" s="65"/>
      <c r="G29" s="10"/>
      <c r="H29" s="10" t="str">
        <f t="shared" si="3"/>
        <v/>
      </c>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s="3" customFormat="1" ht="30" customHeight="1" thickBot="1" x14ac:dyDescent="0.3">
      <c r="A30" s="38"/>
      <c r="B30" s="53" t="s">
        <v>67</v>
      </c>
      <c r="C30" s="47"/>
      <c r="D30" s="16"/>
      <c r="E30" s="65"/>
      <c r="F30" s="65"/>
      <c r="G30" s="10"/>
      <c r="H30" s="10" t="str">
        <f t="shared" si="3"/>
        <v/>
      </c>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s="3" customFormat="1" ht="30" customHeight="1" thickBot="1" x14ac:dyDescent="0.3">
      <c r="A31" s="38"/>
      <c r="B31" s="53" t="s">
        <v>68</v>
      </c>
      <c r="C31" s="47"/>
      <c r="D31" s="16"/>
      <c r="E31" s="65"/>
      <c r="F31" s="65"/>
      <c r="G31" s="10"/>
      <c r="H31" s="10" t="str">
        <f t="shared" si="3"/>
        <v/>
      </c>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s="3" customFormat="1" ht="30" customHeight="1" thickBot="1" x14ac:dyDescent="0.3">
      <c r="A32" s="38"/>
      <c r="B32" s="53" t="s">
        <v>69</v>
      </c>
      <c r="C32" s="47"/>
      <c r="D32" s="16"/>
      <c r="E32" s="65"/>
      <c r="F32" s="65"/>
      <c r="G32" s="10"/>
      <c r="H32" s="10" t="str">
        <f t="shared" si="3"/>
        <v/>
      </c>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1:64" s="3" customFormat="1" ht="30" customHeight="1" thickBot="1" x14ac:dyDescent="0.3">
      <c r="A33" s="38"/>
      <c r="B33" s="53" t="s">
        <v>70</v>
      </c>
      <c r="C33" s="47"/>
      <c r="D33" s="16"/>
      <c r="E33" s="65"/>
      <c r="F33" s="65"/>
      <c r="G33" s="10"/>
      <c r="H33" s="10"/>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1:64" s="3" customFormat="1" ht="30" customHeight="1" thickBot="1" x14ac:dyDescent="0.3">
      <c r="A34" s="38" t="s">
        <v>12</v>
      </c>
      <c r="B34" s="17" t="s">
        <v>58</v>
      </c>
      <c r="C34" s="48"/>
      <c r="D34" s="18"/>
      <c r="E34" s="66"/>
      <c r="F34" s="67"/>
      <c r="G34" s="10"/>
      <c r="H34" s="10" t="str">
        <f t="shared" si="3"/>
        <v/>
      </c>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1:64" s="3" customFormat="1" ht="30" customHeight="1" thickBot="1" x14ac:dyDescent="0.3">
      <c r="A35" s="39" t="s">
        <v>13</v>
      </c>
      <c r="B35" s="54" t="s">
        <v>71</v>
      </c>
      <c r="C35" s="49"/>
      <c r="D35" s="19"/>
      <c r="E35" s="68"/>
      <c r="F35" s="68"/>
      <c r="G35" s="23"/>
      <c r="H35" s="23" t="str">
        <f t="shared" si="3"/>
        <v/>
      </c>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row>
    <row r="36" spans="1:64" ht="30" customHeight="1" thickBot="1" x14ac:dyDescent="0.3">
      <c r="B36" s="54" t="s">
        <v>72</v>
      </c>
      <c r="C36" s="49"/>
      <c r="D36" s="19"/>
      <c r="E36" s="68"/>
      <c r="F36" s="68"/>
      <c r="G36" s="10"/>
      <c r="H36" s="10" t="str">
        <f t="shared" si="3"/>
        <v/>
      </c>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1:64" ht="30" customHeight="1" thickBot="1" x14ac:dyDescent="0.3">
      <c r="B37" s="54" t="s">
        <v>73</v>
      </c>
      <c r="C37" s="49"/>
      <c r="D37" s="19"/>
      <c r="E37" s="68"/>
      <c r="F37" s="68"/>
      <c r="G37" s="23"/>
      <c r="H37" s="23" t="str">
        <f t="shared" si="3"/>
        <v/>
      </c>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row>
    <row r="38" spans="1:64" ht="30" customHeight="1" thickBot="1" x14ac:dyDescent="0.3">
      <c r="B38" s="54" t="s">
        <v>74</v>
      </c>
      <c r="C38" s="49"/>
      <c r="D38" s="19"/>
      <c r="E38" s="68"/>
      <c r="F38" s="68"/>
      <c r="G38" s="10"/>
      <c r="H38" s="10" t="str">
        <f t="shared" si="3"/>
        <v/>
      </c>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1:64" ht="30" customHeight="1" thickBot="1" x14ac:dyDescent="0.3">
      <c r="B39" s="54" t="s">
        <v>75</v>
      </c>
      <c r="C39" s="49"/>
      <c r="D39" s="19"/>
      <c r="E39" s="68"/>
      <c r="F39" s="68"/>
      <c r="G39" s="23"/>
      <c r="H39" s="23" t="str">
        <f t="shared" si="3"/>
        <v/>
      </c>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row>
    <row r="40" spans="1:64" ht="30" customHeight="1" thickBot="1" x14ac:dyDescent="0.3">
      <c r="B40" s="20" t="s">
        <v>59</v>
      </c>
      <c r="C40" s="50"/>
      <c r="D40" s="21"/>
      <c r="E40" s="69"/>
      <c r="F40" s="70"/>
      <c r="G40" s="10"/>
      <c r="H40" s="10" t="str">
        <f t="shared" si="3"/>
        <v/>
      </c>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1:64" ht="30" customHeight="1" thickBot="1" x14ac:dyDescent="0.3">
      <c r="B41" s="55" t="s">
        <v>76</v>
      </c>
      <c r="C41" s="51"/>
      <c r="D41" s="22"/>
      <c r="E41" s="71"/>
      <c r="F41" s="71"/>
      <c r="G41" s="23"/>
      <c r="H41" s="23" t="str">
        <f t="shared" si="3"/>
        <v/>
      </c>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row>
    <row r="42" spans="1:64" ht="30" customHeight="1" thickBot="1" x14ac:dyDescent="0.3">
      <c r="B42" s="55" t="s">
        <v>77</v>
      </c>
      <c r="C42" s="51"/>
      <c r="D42" s="22"/>
      <c r="E42" s="71"/>
      <c r="F42" s="71"/>
      <c r="G42" s="10"/>
      <c r="H42" s="10" t="str">
        <f t="shared" si="3"/>
        <v/>
      </c>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1:64" ht="30" customHeight="1" thickBot="1" x14ac:dyDescent="0.3">
      <c r="B43" s="55" t="s">
        <v>78</v>
      </c>
      <c r="C43" s="51"/>
      <c r="D43" s="22"/>
      <c r="E43" s="71"/>
      <c r="F43" s="71"/>
      <c r="G43" s="23"/>
      <c r="H43" s="23" t="str">
        <f t="shared" si="3"/>
        <v/>
      </c>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row>
    <row r="44" spans="1:64" ht="30" customHeight="1" thickBot="1" x14ac:dyDescent="0.3">
      <c r="B44" s="55" t="s">
        <v>79</v>
      </c>
      <c r="C44" s="51"/>
      <c r="D44" s="22"/>
      <c r="E44" s="71"/>
      <c r="F44" s="71"/>
      <c r="G44" s="10"/>
      <c r="H44" s="10" t="str">
        <f t="shared" si="3"/>
        <v/>
      </c>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1:64" ht="30" customHeight="1" thickBot="1" x14ac:dyDescent="0.3">
      <c r="B45" s="55" t="s">
        <v>80</v>
      </c>
      <c r="C45" s="51"/>
      <c r="D45" s="22"/>
      <c r="E45" s="71"/>
      <c r="F45" s="71"/>
      <c r="G45" s="23"/>
      <c r="H45" s="23" t="str">
        <f t="shared" si="3"/>
        <v/>
      </c>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row>
    <row r="46" spans="1:64" ht="30" customHeight="1" thickBot="1" x14ac:dyDescent="0.3">
      <c r="B46" s="11" t="s">
        <v>60</v>
      </c>
      <c r="C46" s="44"/>
      <c r="D46" s="12"/>
      <c r="E46" s="60"/>
      <c r="F46" s="61"/>
      <c r="G46" s="10"/>
      <c r="H46" s="10" t="str">
        <f t="shared" si="3"/>
        <v/>
      </c>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1:64" ht="30" customHeight="1" thickBot="1" x14ac:dyDescent="0.3">
      <c r="B47" s="52" t="s">
        <v>81</v>
      </c>
      <c r="C47" s="45"/>
      <c r="D47" s="13"/>
      <c r="E47" s="62"/>
      <c r="F47" s="62"/>
      <c r="G47" s="23"/>
      <c r="H47" s="23" t="str">
        <f t="shared" si="3"/>
        <v/>
      </c>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row>
    <row r="48" spans="1:64" ht="30" customHeight="1" thickBot="1" x14ac:dyDescent="0.3">
      <c r="B48" s="52" t="s">
        <v>82</v>
      </c>
      <c r="C48" s="45"/>
      <c r="D48" s="13"/>
      <c r="E48" s="62"/>
      <c r="F48" s="62"/>
      <c r="G48" s="10"/>
      <c r="H48" s="10" t="str">
        <f t="shared" si="3"/>
        <v/>
      </c>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1:64" ht="30" customHeight="1" thickBot="1" x14ac:dyDescent="0.3">
      <c r="B49" s="52" t="s">
        <v>83</v>
      </c>
      <c r="C49" s="45"/>
      <c r="D49" s="13"/>
      <c r="E49" s="62"/>
      <c r="F49" s="62"/>
      <c r="G49" s="23"/>
      <c r="H49" s="23" t="str">
        <f t="shared" si="3"/>
        <v/>
      </c>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row>
    <row r="50" spans="1:64" ht="30" customHeight="1" thickBot="1" x14ac:dyDescent="0.3">
      <c r="A50"/>
      <c r="B50" s="52" t="s">
        <v>84</v>
      </c>
      <c r="C50" s="45"/>
      <c r="D50" s="13"/>
      <c r="E50" s="62"/>
      <c r="F50" s="62"/>
      <c r="G50" s="10"/>
      <c r="H50" s="10" t="str">
        <f t="shared" si="3"/>
        <v/>
      </c>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1:64" ht="30" customHeight="1" thickBot="1" x14ac:dyDescent="0.3">
      <c r="A51"/>
      <c r="B51" s="52" t="s">
        <v>85</v>
      </c>
      <c r="C51" s="45"/>
      <c r="D51" s="13"/>
      <c r="E51" s="62"/>
      <c r="F51" s="62"/>
      <c r="G51" s="23"/>
      <c r="H51" s="23" t="str">
        <f t="shared" si="3"/>
        <v/>
      </c>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row>
    <row r="52" spans="1:64" ht="30" customHeight="1" thickBot="1" x14ac:dyDescent="0.3">
      <c r="A52"/>
      <c r="B52" s="14" t="s">
        <v>61</v>
      </c>
      <c r="C52" s="46"/>
      <c r="D52" s="15"/>
      <c r="E52" s="63"/>
      <c r="F52" s="64"/>
      <c r="G52" s="10"/>
      <c r="H52" s="10" t="str">
        <f t="shared" si="3"/>
        <v/>
      </c>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1:64" ht="30" customHeight="1" thickBot="1" x14ac:dyDescent="0.3">
      <c r="A53"/>
      <c r="B53" s="53" t="s">
        <v>86</v>
      </c>
      <c r="C53" s="47"/>
      <c r="D53" s="16"/>
      <c r="E53" s="65"/>
      <c r="F53" s="65"/>
      <c r="G53" s="23"/>
      <c r="H53" s="23" t="str">
        <f t="shared" si="3"/>
        <v/>
      </c>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row>
    <row r="54" spans="1:64" ht="30" customHeight="1" thickBot="1" x14ac:dyDescent="0.3">
      <c r="A54"/>
      <c r="B54" s="53" t="s">
        <v>87</v>
      </c>
      <c r="C54" s="47"/>
      <c r="D54" s="16"/>
      <c r="E54" s="65"/>
      <c r="F54" s="65"/>
      <c r="G54" s="10"/>
      <c r="H54" s="10" t="str">
        <f t="shared" si="3"/>
        <v/>
      </c>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1:64" ht="30" customHeight="1" thickBot="1" x14ac:dyDescent="0.3">
      <c r="A55"/>
      <c r="B55" s="53" t="s">
        <v>88</v>
      </c>
      <c r="C55" s="47"/>
      <c r="D55" s="16"/>
      <c r="E55" s="65"/>
      <c r="F55" s="65"/>
      <c r="G55" s="23"/>
      <c r="H55" s="23" t="str">
        <f t="shared" si="3"/>
        <v/>
      </c>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row>
    <row r="56" spans="1:64" ht="30" customHeight="1" thickBot="1" x14ac:dyDescent="0.3">
      <c r="A56"/>
      <c r="B56" s="53" t="s">
        <v>89</v>
      </c>
      <c r="C56" s="47"/>
      <c r="D56" s="16"/>
      <c r="E56" s="65"/>
      <c r="F56" s="65"/>
      <c r="G56" s="10"/>
      <c r="H56" s="10" t="str">
        <f t="shared" si="3"/>
        <v/>
      </c>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1:64" ht="30" customHeight="1" thickBot="1" x14ac:dyDescent="0.3">
      <c r="A57"/>
      <c r="B57" s="53" t="s">
        <v>90</v>
      </c>
      <c r="C57" s="47"/>
      <c r="D57" s="16"/>
      <c r="E57" s="65"/>
      <c r="F57" s="65"/>
      <c r="G57" s="23"/>
      <c r="H57" s="23" t="str">
        <f t="shared" si="3"/>
        <v/>
      </c>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row>
    <row r="58" spans="1:64" ht="30" customHeight="1" thickBot="1" x14ac:dyDescent="0.3">
      <c r="A58"/>
      <c r="B58" s="17" t="s">
        <v>63</v>
      </c>
      <c r="C58" s="48"/>
      <c r="D58" s="18"/>
      <c r="E58" s="66"/>
      <c r="F58" s="67"/>
      <c r="G58" s="10"/>
      <c r="H58" s="10" t="str">
        <f t="shared" si="3"/>
        <v/>
      </c>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1:64" ht="30" customHeight="1" thickBot="1" x14ac:dyDescent="0.3">
      <c r="A59"/>
      <c r="B59" s="54" t="s">
        <v>91</v>
      </c>
      <c r="C59" s="49"/>
      <c r="D59" s="19"/>
      <c r="E59" s="68"/>
      <c r="F59" s="68"/>
      <c r="G59" s="23"/>
      <c r="H59" s="23" t="str">
        <f t="shared" si="3"/>
        <v/>
      </c>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row>
    <row r="60" spans="1:64" ht="30" customHeight="1" thickBot="1" x14ac:dyDescent="0.3">
      <c r="A60"/>
      <c r="B60" s="54" t="s">
        <v>95</v>
      </c>
      <c r="C60" s="49"/>
      <c r="D60" s="19"/>
      <c r="E60" s="68"/>
      <c r="F60" s="68"/>
      <c r="G60" s="10"/>
      <c r="H60" s="10" t="str">
        <f t="shared" si="3"/>
        <v/>
      </c>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1:64" ht="30" customHeight="1" thickBot="1" x14ac:dyDescent="0.3">
      <c r="A61"/>
      <c r="B61" s="54" t="s">
        <v>96</v>
      </c>
      <c r="C61" s="49"/>
      <c r="D61" s="19"/>
      <c r="E61" s="68"/>
      <c r="F61" s="68"/>
      <c r="G61" s="23"/>
      <c r="H61" s="23" t="str">
        <f t="shared" si="3"/>
        <v/>
      </c>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row>
    <row r="62" spans="1:64" ht="30" customHeight="1" thickBot="1" x14ac:dyDescent="0.3">
      <c r="A62"/>
      <c r="B62" s="54" t="s">
        <v>97</v>
      </c>
      <c r="C62" s="49"/>
      <c r="D62" s="19"/>
      <c r="E62" s="68"/>
      <c r="F62" s="68"/>
      <c r="G62" s="10"/>
      <c r="H62" s="10" t="str">
        <f t="shared" si="3"/>
        <v/>
      </c>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1:64" ht="30" customHeight="1" thickBot="1" x14ac:dyDescent="0.3">
      <c r="A63"/>
      <c r="B63" s="54" t="s">
        <v>98</v>
      </c>
      <c r="C63" s="49"/>
      <c r="D63" s="19"/>
      <c r="E63" s="68"/>
      <c r="F63" s="68"/>
      <c r="G63" s="23"/>
      <c r="H63" s="23" t="str">
        <f t="shared" si="3"/>
        <v/>
      </c>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row>
    <row r="64" spans="1:64" ht="30" customHeight="1" thickBot="1" x14ac:dyDescent="0.3">
      <c r="A64"/>
      <c r="B64" s="20" t="s">
        <v>64</v>
      </c>
      <c r="C64" s="50"/>
      <c r="D64" s="21"/>
      <c r="E64" s="69"/>
      <c r="F64" s="70"/>
      <c r="G64" s="10"/>
      <c r="H64" s="10" t="str">
        <f t="shared" si="3"/>
        <v/>
      </c>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1:64" ht="30" customHeight="1" thickBot="1" x14ac:dyDescent="0.3">
      <c r="A65"/>
      <c r="B65" s="55" t="s">
        <v>99</v>
      </c>
      <c r="C65" s="51"/>
      <c r="D65" s="22"/>
      <c r="E65" s="71"/>
      <c r="F65" s="71"/>
      <c r="G65" s="23"/>
      <c r="H65" s="23" t="str">
        <f t="shared" si="3"/>
        <v/>
      </c>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row>
    <row r="66" spans="1:64" ht="30" customHeight="1" thickBot="1" x14ac:dyDescent="0.3">
      <c r="A66"/>
      <c r="B66" s="55" t="s">
        <v>100</v>
      </c>
      <c r="C66" s="51"/>
      <c r="D66" s="22"/>
      <c r="E66" s="71"/>
      <c r="F66" s="71"/>
      <c r="G66" s="10"/>
      <c r="H66" s="10" t="str">
        <f t="shared" si="3"/>
        <v/>
      </c>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1:64" ht="30" customHeight="1" thickBot="1" x14ac:dyDescent="0.3">
      <c r="A67"/>
      <c r="B67" s="55" t="s">
        <v>92</v>
      </c>
      <c r="C67" s="51"/>
      <c r="D67" s="22"/>
      <c r="E67" s="71"/>
      <c r="F67" s="71"/>
      <c r="G67" s="23"/>
      <c r="H67" s="23" t="str">
        <f t="shared" si="3"/>
        <v/>
      </c>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row>
    <row r="68" spans="1:64" ht="30" customHeight="1" thickBot="1" x14ac:dyDescent="0.3">
      <c r="A68"/>
      <c r="B68" s="55" t="s">
        <v>93</v>
      </c>
      <c r="C68" s="51"/>
      <c r="D68" s="22"/>
      <c r="E68" s="71"/>
      <c r="F68" s="71"/>
      <c r="G68" s="10"/>
      <c r="H68" s="10" t="str">
        <f t="shared" si="3"/>
        <v/>
      </c>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1:64" ht="30" customHeight="1" thickBot="1" x14ac:dyDescent="0.3">
      <c r="A69"/>
      <c r="B69" s="55" t="s">
        <v>94</v>
      </c>
      <c r="C69" s="51"/>
      <c r="D69" s="22"/>
      <c r="E69" s="71"/>
      <c r="F69" s="71"/>
      <c r="G69" s="23"/>
      <c r="H69" s="23" t="str">
        <f t="shared" si="3"/>
        <v/>
      </c>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row>
    <row r="70" spans="1:64" ht="30" customHeight="1" thickBot="1" x14ac:dyDescent="0.3">
      <c r="A70"/>
      <c r="B70" s="11" t="s">
        <v>37</v>
      </c>
      <c r="C70" s="44"/>
      <c r="D70" s="12"/>
      <c r="E70" s="60"/>
      <c r="F70" s="61"/>
      <c r="G70" s="10"/>
      <c r="H70" s="10" t="str">
        <f t="shared" si="3"/>
        <v/>
      </c>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1:64" ht="30" customHeight="1" thickBot="1" x14ac:dyDescent="0.3">
      <c r="A71"/>
      <c r="B71" s="52" t="s">
        <v>101</v>
      </c>
      <c r="C71" s="45"/>
      <c r="D71" s="13"/>
      <c r="E71" s="62"/>
      <c r="F71" s="62"/>
      <c r="G71" s="23"/>
      <c r="H71" s="23" t="str">
        <f t="shared" si="3"/>
        <v/>
      </c>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row>
    <row r="72" spans="1:64" ht="30" customHeight="1" thickBot="1" x14ac:dyDescent="0.3">
      <c r="A72"/>
      <c r="B72" s="52" t="s">
        <v>102</v>
      </c>
      <c r="C72" s="45"/>
      <c r="D72" s="13"/>
      <c r="E72" s="62"/>
      <c r="F72" s="62"/>
      <c r="G72" s="10"/>
      <c r="H72" s="10" t="str">
        <f t="shared" si="3"/>
        <v/>
      </c>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1:64" ht="30" customHeight="1" thickBot="1" x14ac:dyDescent="0.3">
      <c r="A73"/>
      <c r="B73" s="52" t="s">
        <v>103</v>
      </c>
      <c r="C73" s="45"/>
      <c r="D73" s="13"/>
      <c r="E73" s="62"/>
      <c r="F73" s="62"/>
      <c r="G73" s="23"/>
      <c r="H73" s="23" t="str">
        <f t="shared" si="3"/>
        <v/>
      </c>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row>
    <row r="74" spans="1:64" ht="30" customHeight="1" thickBot="1" x14ac:dyDescent="0.3">
      <c r="A74"/>
      <c r="B74" s="52" t="s">
        <v>104</v>
      </c>
      <c r="C74" s="45"/>
      <c r="D74" s="13"/>
      <c r="E74" s="62"/>
      <c r="F74" s="62"/>
      <c r="G74" s="10"/>
      <c r="H74" s="10" t="str">
        <f t="shared" ref="H74:H81" si="4">IF(OR(ISBLANK(task_start),ISBLANK(task_end)),"",task_end-task_start+1)</f>
        <v/>
      </c>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1:64" ht="30" customHeight="1" thickBot="1" x14ac:dyDescent="0.3">
      <c r="A75"/>
      <c r="B75" s="52" t="s">
        <v>105</v>
      </c>
      <c r="C75" s="45"/>
      <c r="D75" s="13"/>
      <c r="E75" s="62"/>
      <c r="F75" s="62"/>
      <c r="G75" s="23"/>
      <c r="H75" s="23" t="str">
        <f t="shared" si="4"/>
        <v/>
      </c>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row>
    <row r="76" spans="1:64" ht="30" customHeight="1" thickBot="1" x14ac:dyDescent="0.3">
      <c r="A76"/>
      <c r="B76" s="14" t="s">
        <v>62</v>
      </c>
      <c r="C76" s="46"/>
      <c r="D76" s="15"/>
      <c r="E76" s="63"/>
      <c r="F76" s="64"/>
      <c r="G76" s="10"/>
      <c r="H76" s="10" t="str">
        <f t="shared" si="4"/>
        <v/>
      </c>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1:64" ht="30" customHeight="1" thickBot="1" x14ac:dyDescent="0.3">
      <c r="A77"/>
      <c r="B77" s="53" t="s">
        <v>106</v>
      </c>
      <c r="C77" s="47"/>
      <c r="D77" s="16"/>
      <c r="E77" s="65"/>
      <c r="F77" s="65"/>
      <c r="G77" s="23"/>
      <c r="H77" s="23" t="str">
        <f t="shared" si="4"/>
        <v/>
      </c>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row>
    <row r="78" spans="1:64" ht="30" customHeight="1" thickBot="1" x14ac:dyDescent="0.3">
      <c r="A78"/>
      <c r="B78" s="53" t="s">
        <v>107</v>
      </c>
      <c r="C78" s="47"/>
      <c r="D78" s="16"/>
      <c r="E78" s="65"/>
      <c r="F78" s="65"/>
      <c r="G78" s="10"/>
      <c r="H78" s="10" t="str">
        <f t="shared" si="4"/>
        <v/>
      </c>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1:64" ht="30" customHeight="1" thickBot="1" x14ac:dyDescent="0.3">
      <c r="A79"/>
      <c r="B79" s="53" t="s">
        <v>108</v>
      </c>
      <c r="C79" s="47"/>
      <c r="D79" s="16"/>
      <c r="E79" s="65"/>
      <c r="F79" s="65"/>
      <c r="G79" s="23"/>
      <c r="H79" s="23" t="str">
        <f t="shared" si="4"/>
        <v/>
      </c>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row>
    <row r="80" spans="1:64" ht="30" customHeight="1" thickBot="1" x14ac:dyDescent="0.3">
      <c r="A80"/>
      <c r="B80" s="53" t="s">
        <v>110</v>
      </c>
      <c r="C80" s="47"/>
      <c r="D80" s="16"/>
      <c r="E80" s="65"/>
      <c r="F80" s="65"/>
      <c r="G80" s="10"/>
      <c r="H80" s="10" t="str">
        <f t="shared" si="4"/>
        <v/>
      </c>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1:64" ht="30" customHeight="1" thickBot="1" x14ac:dyDescent="0.3">
      <c r="A81"/>
      <c r="B81" s="53" t="s">
        <v>109</v>
      </c>
      <c r="C81" s="47"/>
      <c r="D81" s="16"/>
      <c r="E81" s="65"/>
      <c r="F81" s="65"/>
      <c r="G81" s="23"/>
      <c r="H81" s="23" t="str">
        <f t="shared" si="4"/>
        <v/>
      </c>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row>
  </sheetData>
  <mergeCells count="11">
    <mergeCell ref="C3:D3"/>
    <mergeCell ref="C4:D4"/>
    <mergeCell ref="AK4:AQ4"/>
    <mergeCell ref="AR4:AX4"/>
    <mergeCell ref="AY4:BE4"/>
    <mergeCell ref="BF4:BL4"/>
    <mergeCell ref="E3:F3"/>
    <mergeCell ref="I4:O4"/>
    <mergeCell ref="P4:V4"/>
    <mergeCell ref="W4:AC4"/>
    <mergeCell ref="AD4:AJ4"/>
  </mergeCells>
  <phoneticPr fontId="0" type="noConversion"/>
  <conditionalFormatting sqref="D7:D81">
    <cfRule type="dataBar" priority="7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7:BL81">
    <cfRule type="expression" dxfId="4" priority="2">
      <formula>AND(task_start&lt;=I$5,ROUNDDOWN((task_end-task_start+1)*task_progress,0)+task_start-1&gt;=I$5)</formula>
    </cfRule>
    <cfRule type="expression" dxfId="3" priority="3" stopIfTrue="1">
      <formula>AND(task_end&gt;=I$5,task_start&lt;J$5)</formula>
    </cfRule>
  </conditionalFormatting>
  <conditionalFormatting sqref="I5:BL5">
    <cfRule type="expression" dxfId="0" priority="1">
      <formula>AND(TODAY()&gt;=I$5,TODAY()&lt;J$5)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D7:D81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2.75" x14ac:dyDescent="0.2"/>
  <cols>
    <col min="1" max="1" width="87.140625" style="28" customWidth="1"/>
    <col min="2" max="16384" width="9.140625" style="2"/>
  </cols>
  <sheetData>
    <row r="1" spans="1:2" ht="46.5" customHeight="1" x14ac:dyDescent="0.2"/>
    <row r="2" spans="1:2" s="30" customFormat="1" ht="15.75" x14ac:dyDescent="0.25">
      <c r="A2" s="29" t="s">
        <v>22</v>
      </c>
      <c r="B2" s="29"/>
    </row>
    <row r="3" spans="1:2" s="34" customFormat="1" ht="27" customHeight="1" x14ac:dyDescent="0.25">
      <c r="A3" s="59" t="s">
        <v>23</v>
      </c>
      <c r="B3" s="35"/>
    </row>
    <row r="4" spans="1:2" s="31" customFormat="1" ht="26.25" x14ac:dyDescent="0.4">
      <c r="A4" s="32" t="s">
        <v>24</v>
      </c>
    </row>
    <row r="5" spans="1:2" ht="74.099999999999994" customHeight="1" x14ac:dyDescent="0.2">
      <c r="A5" s="33" t="s">
        <v>25</v>
      </c>
    </row>
    <row r="6" spans="1:2" ht="26.25" customHeight="1" x14ac:dyDescent="0.2">
      <c r="A6" s="32" t="s">
        <v>26</v>
      </c>
    </row>
    <row r="7" spans="1:2" s="28" customFormat="1" ht="204.95" customHeight="1" x14ac:dyDescent="0.25">
      <c r="A7" s="37" t="s">
        <v>27</v>
      </c>
    </row>
    <row r="8" spans="1:2" s="31" customFormat="1" ht="26.25" x14ac:dyDescent="0.4">
      <c r="A8" s="32" t="s">
        <v>28</v>
      </c>
    </row>
    <row r="9" spans="1:2" ht="60" x14ac:dyDescent="0.2">
      <c r="A9" s="33" t="s">
        <v>29</v>
      </c>
    </row>
    <row r="10" spans="1:2" s="28" customFormat="1" ht="27.95" customHeight="1" x14ac:dyDescent="0.25">
      <c r="A10" s="36" t="s">
        <v>30</v>
      </c>
    </row>
    <row r="11" spans="1:2" s="31" customFormat="1" ht="26.25" x14ac:dyDescent="0.4">
      <c r="A11" s="32" t="s">
        <v>31</v>
      </c>
    </row>
    <row r="12" spans="1:2" ht="30" x14ac:dyDescent="0.2">
      <c r="A12" s="33" t="s">
        <v>32</v>
      </c>
    </row>
    <row r="13" spans="1:2" s="28" customFormat="1" ht="27.95" customHeight="1" x14ac:dyDescent="0.25">
      <c r="A13" s="36" t="s">
        <v>33</v>
      </c>
    </row>
    <row r="14" spans="1:2" s="31" customFormat="1" ht="26.25" x14ac:dyDescent="0.4">
      <c r="A14" s="32" t="s">
        <v>34</v>
      </c>
    </row>
    <row r="15" spans="1:2" ht="75" customHeight="1" x14ac:dyDescent="0.2">
      <c r="A15" s="33" t="s">
        <v>35</v>
      </c>
    </row>
    <row r="16" spans="1:2" ht="75" x14ac:dyDescent="0.2">
      <c r="A16" s="33" t="s">
        <v>36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7b3a2ed-e45d-4e9c-8dc6-ad8b8e92373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A7CAAC08553D44C89C66C9E5E67522D" ma:contentTypeVersion="11" ma:contentTypeDescription="Create a new document." ma:contentTypeScope="" ma:versionID="909a7c0a705faf75b7dd3938d9704897">
  <xsd:schema xmlns:xsd="http://www.w3.org/2001/XMLSchema" xmlns:xs="http://www.w3.org/2001/XMLSchema" xmlns:p="http://schemas.microsoft.com/office/2006/metadata/properties" xmlns:ns3="e7b3a2ed-e45d-4e9c-8dc6-ad8b8e923737" targetNamespace="http://schemas.microsoft.com/office/2006/metadata/properties" ma:root="true" ma:fieldsID="5c3441a8a28f8035002a766cd31584ec" ns3:_="">
    <xsd:import namespace="e7b3a2ed-e45d-4e9c-8dc6-ad8b8e92373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Locatio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b3a2ed-e45d-4e9c-8dc6-ad8b8e92373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e7b3a2ed-e45d-4e9c-8dc6-ad8b8e923737"/>
    <ds:schemaRef ds:uri="http://www.w3.org/XML/1998/namespace"/>
    <ds:schemaRef ds:uri="http://purl.org/dc/dcmitype/"/>
    <ds:schemaRef ds:uri="http://schemas.openxmlformats.org/package/2006/metadata/core-properties"/>
    <ds:schemaRef ds:uri="http://schemas.microsoft.com/office/infopath/2007/PartnerControls"/>
    <ds:schemaRef ds:uri="http://schemas.microsoft.com/office/2006/documentManagement/types"/>
    <ds:schemaRef ds:uri="http://purl.org/dc/term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32301A72-29DF-4C9E-822E-BC2186A56F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b3a2ed-e45d-4e9c-8dc6-ad8b8e9237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2025-11-20T11:25:39Z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0x0101002A7CAAC08553D44C89C66C9E5E67522D</vt:lpwstr>
  </property>
</Properties>
</file>